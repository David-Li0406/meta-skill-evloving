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variLabs\TemplateTexts\AI_Instructions_Knowledge_Ect\Claude\ClaudeSkills\photometrics-ai-financials\references\sources\"/>
    </mc:Choice>
  </mc:AlternateContent>
  <xr:revisionPtr revIDLastSave="0" documentId="13_ncr:1_{077F09FA-4645-4B82-9997-A002A20BDB14}" xr6:coauthVersionLast="47" xr6:coauthVersionMax="47" xr10:uidLastSave="{00000000-0000-0000-0000-000000000000}"/>
  <bookViews>
    <workbookView xWindow="43080" yWindow="6240" windowWidth="24240" windowHeight="13020" activeTab="1" xr2:uid="{9F0502CE-26C2-4F48-BA0D-753B005BD1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2" l="1"/>
  <c r="M32" i="2"/>
  <c r="L5" i="2"/>
  <c r="M5" i="2"/>
  <c r="L6" i="2"/>
  <c r="M6" i="2"/>
  <c r="L7" i="2"/>
  <c r="M7" i="2"/>
  <c r="L8" i="2"/>
  <c r="L9" i="2"/>
  <c r="L10" i="2"/>
  <c r="M10" i="2"/>
  <c r="L11" i="2"/>
  <c r="M11" i="2"/>
  <c r="L12" i="2"/>
  <c r="M12" i="2"/>
  <c r="L13" i="2"/>
  <c r="L14" i="2"/>
  <c r="M14" i="2"/>
  <c r="L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L23" i="2"/>
  <c r="M23" i="2"/>
  <c r="L24" i="2"/>
  <c r="L25" i="2"/>
  <c r="L26" i="2"/>
  <c r="L27" i="2"/>
  <c r="M4" i="2"/>
  <c r="G5" i="2"/>
  <c r="G6" i="2"/>
  <c r="G7" i="2"/>
  <c r="G8" i="2"/>
  <c r="M8" i="2" s="1"/>
  <c r="G9" i="2"/>
  <c r="M9" i="2" s="1"/>
  <c r="G10" i="2"/>
  <c r="G11" i="2"/>
  <c r="G12" i="2"/>
  <c r="G13" i="2"/>
  <c r="M13" i="2" s="1"/>
  <c r="G14" i="2"/>
  <c r="G15" i="2"/>
  <c r="M15" i="2" s="1"/>
  <c r="G16" i="2"/>
  <c r="G17" i="2"/>
  <c r="G18" i="2"/>
  <c r="G19" i="2"/>
  <c r="G20" i="2"/>
  <c r="G21" i="2"/>
  <c r="G22" i="2"/>
  <c r="M22" i="2" s="1"/>
  <c r="G23" i="2"/>
  <c r="G24" i="2"/>
  <c r="M24" i="2" s="1"/>
  <c r="G25" i="2"/>
  <c r="M25" i="2" s="1"/>
  <c r="G26" i="2"/>
  <c r="M26" i="2" s="1"/>
  <c r="G27" i="2"/>
  <c r="M27" i="2" s="1"/>
  <c r="G4" i="2"/>
  <c r="L4" i="2"/>
  <c r="L29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5" i="1"/>
  <c r="M29" i="2" l="1"/>
</calcChain>
</file>

<file path=xl/sharedStrings.xml><?xml version="1.0" encoding="utf-8"?>
<sst xmlns="http://schemas.openxmlformats.org/spreadsheetml/2006/main" count="92" uniqueCount="19">
  <si>
    <t>Midnight</t>
  </si>
  <si>
    <t>May-October</t>
  </si>
  <si>
    <t>November-April</t>
  </si>
  <si>
    <t>184</t>
  </si>
  <si>
    <t>20.03</t>
  </si>
  <si>
    <t>0</t>
  </si>
  <si>
    <t>112.05</t>
  </si>
  <si>
    <t>Noon</t>
  </si>
  <si>
    <t>10.43</t>
  </si>
  <si>
    <t>53.1</t>
  </si>
  <si>
    <t>Photometrics AI multiplier</t>
  </si>
  <si>
    <t>Acc Benefit</t>
  </si>
  <si>
    <t>Hours of Saved Energy</t>
  </si>
  <si>
    <t>May - October</t>
  </si>
  <si>
    <t>November - April</t>
  </si>
  <si>
    <t>Acc Rate ($/MWh)</t>
  </si>
  <si>
    <t>20,000 lights in  Riverside at 50W = 1mwh</t>
  </si>
  <si>
    <t>Total annual</t>
  </si>
  <si>
    <t>per light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</si>
</sst>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:mm;@"/>
    <numFmt numFmtId="167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7" fontId="0" fillId="0" borderId="3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22B2-792D-447D-B098-8A8628989BF7}">
  <dimension ref="A2:I27"/>
  <sheetViews>
    <sheetView workbookViewId="0">
      <selection activeCell="I27" sqref="A1:I27"/>
    </sheetView>
  </sheetViews>
  <sheetFormatPr defaultRowHeight="14.6" x14ac:dyDescent="0.4"/>
  <cols>
    <col min="2" max="2" width="10.84375" style="1" bestFit="1" customWidth="1"/>
    <col min="3" max="3" width="14.4609375" style="3" customWidth="1"/>
    <col min="4" max="4" width="14.921875" style="4" customWidth="1"/>
    <col min="5" max="6" width="9.23046875" style="4"/>
    <col min="8" max="8" width="14.765625" customWidth="1"/>
    <col min="9" max="9" width="13.84375" customWidth="1"/>
  </cols>
  <sheetData>
    <row r="2" spans="1:9" x14ac:dyDescent="0.4">
      <c r="C2" s="16" t="s">
        <v>12</v>
      </c>
      <c r="D2" s="17"/>
      <c r="H2" s="6" t="s">
        <v>11</v>
      </c>
      <c r="I2" s="7"/>
    </row>
    <row r="3" spans="1:9" ht="43.75" x14ac:dyDescent="0.4">
      <c r="C3" s="8" t="s">
        <v>1</v>
      </c>
      <c r="D3" s="9" t="s">
        <v>2</v>
      </c>
      <c r="F3" s="15" t="s">
        <v>10</v>
      </c>
      <c r="H3" s="8" t="s">
        <v>1</v>
      </c>
      <c r="I3" s="9" t="s">
        <v>2</v>
      </c>
    </row>
    <row r="4" spans="1:9" x14ac:dyDescent="0.4">
      <c r="A4" t="s">
        <v>7</v>
      </c>
      <c r="B4" s="1">
        <v>0.5</v>
      </c>
      <c r="C4" s="8" t="s">
        <v>5</v>
      </c>
      <c r="D4" s="18" t="s">
        <v>5</v>
      </c>
      <c r="F4" s="13">
        <v>0.25</v>
      </c>
      <c r="H4" s="10">
        <v>15.46</v>
      </c>
      <c r="I4" s="9">
        <v>12.15</v>
      </c>
    </row>
    <row r="5" spans="1:9" x14ac:dyDescent="0.4">
      <c r="B5" s="1">
        <f>B4+TIME(1,0,0)</f>
        <v>0.54166666666666663</v>
      </c>
      <c r="C5" s="8" t="s">
        <v>5</v>
      </c>
      <c r="D5" s="18" t="s">
        <v>5</v>
      </c>
      <c r="F5" s="13">
        <v>0.25</v>
      </c>
      <c r="H5" s="10">
        <v>16.059999999999999</v>
      </c>
      <c r="I5" s="9">
        <v>11.88</v>
      </c>
    </row>
    <row r="6" spans="1:9" x14ac:dyDescent="0.4">
      <c r="B6" s="1">
        <f t="shared" ref="B6:C29" si="0">B5+TIME(1,0,0)</f>
        <v>0.58333333333333326</v>
      </c>
      <c r="C6" s="8" t="s">
        <v>5</v>
      </c>
      <c r="D6" s="18" t="s">
        <v>5</v>
      </c>
      <c r="F6" s="13">
        <v>0.25</v>
      </c>
      <c r="H6" s="10">
        <v>53.27</v>
      </c>
      <c r="I6" s="9">
        <v>24.79</v>
      </c>
    </row>
    <row r="7" spans="1:9" x14ac:dyDescent="0.4">
      <c r="B7" s="1">
        <f t="shared" si="0"/>
        <v>0.62499999999999989</v>
      </c>
      <c r="C7" s="8" t="s">
        <v>5</v>
      </c>
      <c r="D7" s="18" t="s">
        <v>5</v>
      </c>
      <c r="F7" s="13">
        <v>0.25</v>
      </c>
      <c r="H7" s="10">
        <v>234.24</v>
      </c>
      <c r="I7" s="9">
        <v>94.84</v>
      </c>
    </row>
    <row r="8" spans="1:9" x14ac:dyDescent="0.4">
      <c r="B8" s="1">
        <f t="shared" si="0"/>
        <v>0.66666666666666652</v>
      </c>
      <c r="C8" s="8" t="s">
        <v>5</v>
      </c>
      <c r="D8" s="18" t="s">
        <v>5</v>
      </c>
      <c r="F8" s="13">
        <v>0.25</v>
      </c>
      <c r="H8" s="10">
        <v>450.01</v>
      </c>
      <c r="I8" s="9">
        <v>156.93</v>
      </c>
    </row>
    <row r="9" spans="1:9" x14ac:dyDescent="0.4">
      <c r="B9" s="1">
        <f t="shared" si="0"/>
        <v>0.70833333333333315</v>
      </c>
      <c r="C9" s="8" t="s">
        <v>5</v>
      </c>
      <c r="D9" s="9">
        <v>64.650000000000006</v>
      </c>
      <c r="F9" s="13">
        <v>0.25</v>
      </c>
      <c r="H9" s="10">
        <v>466.6</v>
      </c>
      <c r="I9" s="9">
        <v>155.71</v>
      </c>
    </row>
    <row r="10" spans="1:9" x14ac:dyDescent="0.4">
      <c r="B10" s="1">
        <f t="shared" si="0"/>
        <v>0.74999999999999978</v>
      </c>
      <c r="C10" s="8" t="s">
        <v>8</v>
      </c>
      <c r="D10" s="9">
        <v>124.23</v>
      </c>
      <c r="F10" s="13">
        <v>0.25</v>
      </c>
      <c r="H10" s="10">
        <v>345.57</v>
      </c>
      <c r="I10" s="9">
        <v>146.76</v>
      </c>
    </row>
    <row r="11" spans="1:9" x14ac:dyDescent="0.4">
      <c r="B11" s="1">
        <f t="shared" si="0"/>
        <v>0.79166666666666641</v>
      </c>
      <c r="C11" s="8" t="s">
        <v>9</v>
      </c>
      <c r="D11" s="9">
        <v>146.93</v>
      </c>
      <c r="F11" s="13">
        <v>0.25</v>
      </c>
      <c r="H11" s="10">
        <v>232.43</v>
      </c>
      <c r="I11" s="9">
        <v>138.6</v>
      </c>
    </row>
    <row r="12" spans="1:9" x14ac:dyDescent="0.4">
      <c r="B12" s="1">
        <f t="shared" si="0"/>
        <v>0.83333333333333304</v>
      </c>
      <c r="C12" s="8" t="s">
        <v>3</v>
      </c>
      <c r="D12" s="9">
        <v>181</v>
      </c>
      <c r="F12" s="13">
        <v>0.25</v>
      </c>
      <c r="H12" s="10">
        <v>214.9</v>
      </c>
      <c r="I12" s="9">
        <v>136.81</v>
      </c>
    </row>
    <row r="13" spans="1:9" x14ac:dyDescent="0.4">
      <c r="B13" s="1">
        <f t="shared" si="0"/>
        <v>0.87499999999999967</v>
      </c>
      <c r="C13" s="8" t="s">
        <v>3</v>
      </c>
      <c r="D13" s="9">
        <v>181</v>
      </c>
      <c r="F13" s="13">
        <v>0.25</v>
      </c>
      <c r="H13" s="10">
        <v>150.71</v>
      </c>
      <c r="I13" s="9">
        <v>139.03</v>
      </c>
    </row>
    <row r="14" spans="1:9" x14ac:dyDescent="0.4">
      <c r="B14" s="1">
        <f t="shared" si="0"/>
        <v>0.9166666666666663</v>
      </c>
      <c r="C14" s="8" t="s">
        <v>3</v>
      </c>
      <c r="D14" s="9">
        <v>181</v>
      </c>
      <c r="F14" s="13">
        <v>0.25</v>
      </c>
      <c r="H14" s="10">
        <v>150.41</v>
      </c>
      <c r="I14" s="9">
        <v>141.71</v>
      </c>
    </row>
    <row r="15" spans="1:9" x14ac:dyDescent="0.4">
      <c r="B15" s="1">
        <f t="shared" si="0"/>
        <v>0.95833333333333293</v>
      </c>
      <c r="C15" s="8" t="s">
        <v>3</v>
      </c>
      <c r="D15" s="9">
        <v>181</v>
      </c>
      <c r="F15" s="13">
        <v>0.25</v>
      </c>
      <c r="H15" s="10">
        <v>139.34</v>
      </c>
      <c r="I15" s="9">
        <v>143.25</v>
      </c>
    </row>
    <row r="16" spans="1:9" x14ac:dyDescent="0.4">
      <c r="A16" t="s">
        <v>0</v>
      </c>
      <c r="B16" s="1">
        <f t="shared" si="0"/>
        <v>0.99999999999999956</v>
      </c>
      <c r="C16" s="8" t="s">
        <v>3</v>
      </c>
      <c r="D16" s="9">
        <v>181</v>
      </c>
      <c r="F16" s="13">
        <v>0.25</v>
      </c>
      <c r="H16" s="10">
        <v>142.97</v>
      </c>
      <c r="I16" s="9">
        <v>144.57</v>
      </c>
    </row>
    <row r="17" spans="2:9" x14ac:dyDescent="0.4">
      <c r="B17" s="1">
        <f t="shared" si="0"/>
        <v>1.0416666666666663</v>
      </c>
      <c r="C17" s="8" t="s">
        <v>3</v>
      </c>
      <c r="D17" s="9">
        <v>181</v>
      </c>
      <c r="F17" s="13">
        <v>0.5</v>
      </c>
      <c r="H17" s="10">
        <v>144.03</v>
      </c>
      <c r="I17" s="9">
        <v>147.69999999999999</v>
      </c>
    </row>
    <row r="18" spans="2:9" x14ac:dyDescent="0.4">
      <c r="B18" s="1">
        <f t="shared" si="0"/>
        <v>1.083333333333333</v>
      </c>
      <c r="C18" s="8" t="s">
        <v>3</v>
      </c>
      <c r="D18" s="9">
        <v>181</v>
      </c>
      <c r="F18" s="13">
        <v>0.5</v>
      </c>
      <c r="H18" s="10">
        <v>139.68</v>
      </c>
      <c r="I18" s="9">
        <v>146.13</v>
      </c>
    </row>
    <row r="19" spans="2:9" x14ac:dyDescent="0.4">
      <c r="B19" s="1">
        <f t="shared" si="0"/>
        <v>1.1249999999999998</v>
      </c>
      <c r="C19" s="8" t="s">
        <v>3</v>
      </c>
      <c r="D19" s="9">
        <v>181</v>
      </c>
      <c r="F19" s="13">
        <v>0.5</v>
      </c>
      <c r="H19" s="10">
        <v>132.33000000000001</v>
      </c>
      <c r="I19" s="9">
        <v>143.27000000000001</v>
      </c>
    </row>
    <row r="20" spans="2:9" x14ac:dyDescent="0.4">
      <c r="B20" s="1">
        <f t="shared" si="0"/>
        <v>1.1666666666666665</v>
      </c>
      <c r="C20" s="8" t="s">
        <v>3</v>
      </c>
      <c r="D20" s="9">
        <v>181</v>
      </c>
      <c r="F20" s="13">
        <v>0.5</v>
      </c>
      <c r="H20" s="10">
        <v>121.29</v>
      </c>
      <c r="I20" s="9">
        <v>142.07</v>
      </c>
    </row>
    <row r="21" spans="2:9" x14ac:dyDescent="0.4">
      <c r="B21" s="1">
        <f t="shared" si="0"/>
        <v>1.2083333333333333</v>
      </c>
      <c r="C21" s="8" t="s">
        <v>6</v>
      </c>
      <c r="D21" s="9">
        <v>171.85</v>
      </c>
      <c r="F21" s="13">
        <v>0.5</v>
      </c>
      <c r="H21" s="10">
        <v>81.78</v>
      </c>
      <c r="I21" s="9">
        <v>132.27000000000001</v>
      </c>
    </row>
    <row r="22" spans="2:9" x14ac:dyDescent="0.4">
      <c r="B22" s="1">
        <f t="shared" si="0"/>
        <v>1.25</v>
      </c>
      <c r="C22" s="8" t="s">
        <v>4</v>
      </c>
      <c r="D22" s="9">
        <v>41.07</v>
      </c>
      <c r="F22" s="13">
        <v>0.25</v>
      </c>
      <c r="H22" s="10">
        <v>38.94</v>
      </c>
      <c r="I22" s="9">
        <v>89.03</v>
      </c>
    </row>
    <row r="23" spans="2:9" x14ac:dyDescent="0.4">
      <c r="B23" s="1">
        <f t="shared" si="0"/>
        <v>1.2916666666666667</v>
      </c>
      <c r="C23" s="8" t="s">
        <v>5</v>
      </c>
      <c r="D23" s="9">
        <v>0</v>
      </c>
      <c r="F23" s="13">
        <v>0.25</v>
      </c>
      <c r="H23" s="10">
        <v>30.17</v>
      </c>
      <c r="I23" s="9">
        <v>48.78</v>
      </c>
    </row>
    <row r="24" spans="2:9" x14ac:dyDescent="0.4">
      <c r="B24" s="1">
        <f t="shared" si="0"/>
        <v>1.3333333333333335</v>
      </c>
      <c r="C24" s="8" t="s">
        <v>5</v>
      </c>
      <c r="D24" s="18" t="s">
        <v>5</v>
      </c>
      <c r="F24" s="13">
        <v>0.25</v>
      </c>
      <c r="H24" s="10">
        <v>26.45</v>
      </c>
      <c r="I24" s="9">
        <v>28.58</v>
      </c>
    </row>
    <row r="25" spans="2:9" x14ac:dyDescent="0.4">
      <c r="B25" s="1">
        <f t="shared" si="0"/>
        <v>1.3750000000000002</v>
      </c>
      <c r="C25" s="8" t="s">
        <v>5</v>
      </c>
      <c r="D25" s="18" t="s">
        <v>5</v>
      </c>
      <c r="F25" s="13">
        <v>0.25</v>
      </c>
      <c r="H25" s="10">
        <v>23.66</v>
      </c>
      <c r="I25" s="9">
        <v>21.19</v>
      </c>
    </row>
    <row r="26" spans="2:9" x14ac:dyDescent="0.4">
      <c r="B26" s="1">
        <f t="shared" si="0"/>
        <v>1.416666666666667</v>
      </c>
      <c r="C26" s="8" t="s">
        <v>5</v>
      </c>
      <c r="D26" s="18" t="s">
        <v>5</v>
      </c>
      <c r="F26" s="13">
        <v>0.25</v>
      </c>
      <c r="H26" s="10">
        <v>20.76</v>
      </c>
      <c r="I26" s="9">
        <v>15.29</v>
      </c>
    </row>
    <row r="27" spans="2:9" x14ac:dyDescent="0.4">
      <c r="B27" s="1">
        <f t="shared" si="0"/>
        <v>1.4583333333333337</v>
      </c>
      <c r="C27" s="19" t="s">
        <v>5</v>
      </c>
      <c r="D27" s="20" t="s">
        <v>5</v>
      </c>
      <c r="F27" s="14">
        <v>0.25</v>
      </c>
      <c r="H27" s="11">
        <v>16.72</v>
      </c>
      <c r="I27" s="12">
        <v>13.78</v>
      </c>
    </row>
  </sheetData>
  <mergeCells count="2">
    <mergeCell ref="H2:I2"/>
    <mergeCell ref="C2: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BE8F-7C98-4A90-AB9B-61A70F5642EE}">
  <dimension ref="A1:Q35"/>
  <sheetViews>
    <sheetView tabSelected="1" zoomScale="90" zoomScaleNormal="90" workbookViewId="0">
      <selection activeCell="M35" sqref="M35"/>
    </sheetView>
  </sheetViews>
  <sheetFormatPr defaultRowHeight="14.6" x14ac:dyDescent="0.4"/>
  <cols>
    <col min="1" max="1" width="11.921875" customWidth="1"/>
    <col min="2" max="2" width="11.921875" style="2" customWidth="1"/>
    <col min="3" max="11" width="11.921875" customWidth="1"/>
    <col min="12" max="13" width="11.921875" style="4" customWidth="1"/>
    <col min="15" max="15" width="14.765625" customWidth="1"/>
  </cols>
  <sheetData>
    <row r="1" spans="1:13" x14ac:dyDescent="0.4">
      <c r="B1" s="28"/>
      <c r="C1" s="3"/>
      <c r="D1" s="4"/>
      <c r="E1" s="4"/>
      <c r="F1" s="4"/>
      <c r="G1" s="4"/>
    </row>
    <row r="2" spans="1:13" ht="29.15" customHeight="1" x14ac:dyDescent="0.4">
      <c r="B2" s="28"/>
      <c r="C2" s="30" t="s">
        <v>12</v>
      </c>
      <c r="D2" s="31"/>
      <c r="E2" s="4"/>
      <c r="F2" s="32" t="s">
        <v>10</v>
      </c>
      <c r="G2" s="33"/>
      <c r="I2" s="34" t="s">
        <v>15</v>
      </c>
      <c r="J2" s="35"/>
      <c r="L2" s="34" t="s">
        <v>11</v>
      </c>
      <c r="M2" s="35"/>
    </row>
    <row r="3" spans="1:13" ht="29.15" x14ac:dyDescent="0.4">
      <c r="B3" s="28"/>
      <c r="C3" s="37" t="s">
        <v>13</v>
      </c>
      <c r="D3" s="38" t="s">
        <v>14</v>
      </c>
      <c r="E3" s="21"/>
      <c r="F3" s="37" t="s">
        <v>1</v>
      </c>
      <c r="G3" s="38" t="s">
        <v>2</v>
      </c>
      <c r="H3" s="22"/>
      <c r="I3" s="37" t="s">
        <v>1</v>
      </c>
      <c r="J3" s="38" t="s">
        <v>2</v>
      </c>
      <c r="L3" s="37" t="s">
        <v>1</v>
      </c>
      <c r="M3" s="38" t="s">
        <v>2</v>
      </c>
    </row>
    <row r="4" spans="1:13" x14ac:dyDescent="0.4">
      <c r="A4" t="s">
        <v>0</v>
      </c>
      <c r="B4" s="28">
        <f>B27+TIME(1,0,0)</f>
        <v>0.99999999999999956</v>
      </c>
      <c r="C4" s="8" t="s">
        <v>3</v>
      </c>
      <c r="D4" s="9">
        <v>181</v>
      </c>
      <c r="E4" s="4"/>
      <c r="F4" s="10">
        <v>0.25</v>
      </c>
      <c r="G4" s="9">
        <f>F4</f>
        <v>0.25</v>
      </c>
      <c r="I4" s="23">
        <v>142.97</v>
      </c>
      <c r="J4" s="24">
        <v>144.57</v>
      </c>
      <c r="L4" s="23">
        <f>C4*F4*I4</f>
        <v>6576.62</v>
      </c>
      <c r="M4" s="24">
        <f>D4*G4*J4</f>
        <v>6541.7924999999996</v>
      </c>
    </row>
    <row r="5" spans="1:13" x14ac:dyDescent="0.4">
      <c r="B5" s="28">
        <f t="shared" ref="B5:B15" si="0">B4+TIME(1,0,0)</f>
        <v>1.0416666666666663</v>
      </c>
      <c r="C5" s="8" t="s">
        <v>3</v>
      </c>
      <c r="D5" s="9">
        <v>181</v>
      </c>
      <c r="E5" s="4"/>
      <c r="F5" s="10">
        <v>0.5</v>
      </c>
      <c r="G5" s="9">
        <f t="shared" ref="G5:G27" si="1">F5</f>
        <v>0.5</v>
      </c>
      <c r="I5" s="23">
        <v>144.03</v>
      </c>
      <c r="J5" s="24">
        <v>147.69999999999999</v>
      </c>
      <c r="L5" s="23">
        <f t="shared" ref="L5:L27" si="2">C5*F5*I5</f>
        <v>13250.76</v>
      </c>
      <c r="M5" s="24">
        <f t="shared" ref="M5:M27" si="3">D5*G5*J5</f>
        <v>13366.849999999999</v>
      </c>
    </row>
    <row r="6" spans="1:13" x14ac:dyDescent="0.4">
      <c r="B6" s="28">
        <f t="shared" si="0"/>
        <v>1.083333333333333</v>
      </c>
      <c r="C6" s="8" t="s">
        <v>3</v>
      </c>
      <c r="D6" s="9">
        <v>181</v>
      </c>
      <c r="E6" s="4"/>
      <c r="F6" s="10">
        <v>0.5</v>
      </c>
      <c r="G6" s="9">
        <f t="shared" si="1"/>
        <v>0.5</v>
      </c>
      <c r="I6" s="23">
        <v>139.68</v>
      </c>
      <c r="J6" s="24">
        <v>146.13</v>
      </c>
      <c r="L6" s="23">
        <f t="shared" si="2"/>
        <v>12850.560000000001</v>
      </c>
      <c r="M6" s="24">
        <f t="shared" si="3"/>
        <v>13224.764999999999</v>
      </c>
    </row>
    <row r="7" spans="1:13" x14ac:dyDescent="0.4">
      <c r="B7" s="28">
        <f t="shared" si="0"/>
        <v>1.1249999999999998</v>
      </c>
      <c r="C7" s="8" t="s">
        <v>3</v>
      </c>
      <c r="D7" s="9">
        <v>181</v>
      </c>
      <c r="E7" s="4"/>
      <c r="F7" s="10">
        <v>0.5</v>
      </c>
      <c r="G7" s="9">
        <f t="shared" si="1"/>
        <v>0.5</v>
      </c>
      <c r="I7" s="23">
        <v>132.33000000000001</v>
      </c>
      <c r="J7" s="24">
        <v>143.27000000000001</v>
      </c>
      <c r="L7" s="23">
        <f t="shared" si="2"/>
        <v>12174.36</v>
      </c>
      <c r="M7" s="24">
        <f t="shared" si="3"/>
        <v>12965.935000000001</v>
      </c>
    </row>
    <row r="8" spans="1:13" x14ac:dyDescent="0.4">
      <c r="B8" s="28">
        <f t="shared" si="0"/>
        <v>1.1666666666666665</v>
      </c>
      <c r="C8" s="8" t="s">
        <v>3</v>
      </c>
      <c r="D8" s="9">
        <v>181</v>
      </c>
      <c r="E8" s="4"/>
      <c r="F8" s="10">
        <v>0.5</v>
      </c>
      <c r="G8" s="9">
        <f t="shared" si="1"/>
        <v>0.5</v>
      </c>
      <c r="I8" s="23">
        <v>121.29</v>
      </c>
      <c r="J8" s="24">
        <v>142.07</v>
      </c>
      <c r="L8" s="23">
        <f t="shared" si="2"/>
        <v>11158.68</v>
      </c>
      <c r="M8" s="24">
        <f t="shared" si="3"/>
        <v>12857.334999999999</v>
      </c>
    </row>
    <row r="9" spans="1:13" x14ac:dyDescent="0.4">
      <c r="B9" s="28">
        <f t="shared" si="0"/>
        <v>1.2083333333333333</v>
      </c>
      <c r="C9" s="8" t="s">
        <v>6</v>
      </c>
      <c r="D9" s="9">
        <v>171.85</v>
      </c>
      <c r="E9" s="4"/>
      <c r="F9" s="10">
        <v>0.5</v>
      </c>
      <c r="G9" s="9">
        <f t="shared" si="1"/>
        <v>0.5</v>
      </c>
      <c r="I9" s="23">
        <v>81.78</v>
      </c>
      <c r="J9" s="24">
        <v>132.27000000000001</v>
      </c>
      <c r="L9" s="23">
        <f t="shared" si="2"/>
        <v>4581.7245000000003</v>
      </c>
      <c r="M9" s="24">
        <f t="shared" si="3"/>
        <v>11365.29975</v>
      </c>
    </row>
    <row r="10" spans="1:13" x14ac:dyDescent="0.4">
      <c r="B10" s="28">
        <f t="shared" si="0"/>
        <v>1.25</v>
      </c>
      <c r="C10" s="8" t="s">
        <v>4</v>
      </c>
      <c r="D10" s="9">
        <v>41.07</v>
      </c>
      <c r="E10" s="4"/>
      <c r="F10" s="10">
        <v>0.25</v>
      </c>
      <c r="G10" s="9">
        <f t="shared" si="1"/>
        <v>0.25</v>
      </c>
      <c r="I10" s="23">
        <v>38.94</v>
      </c>
      <c r="J10" s="24">
        <v>89.03</v>
      </c>
      <c r="L10" s="23">
        <f t="shared" si="2"/>
        <v>194.99205000000001</v>
      </c>
      <c r="M10" s="24">
        <f t="shared" si="3"/>
        <v>914.11552500000005</v>
      </c>
    </row>
    <row r="11" spans="1:13" x14ac:dyDescent="0.4">
      <c r="B11" s="28">
        <f t="shared" si="0"/>
        <v>1.2916666666666667</v>
      </c>
      <c r="C11" s="8" t="s">
        <v>5</v>
      </c>
      <c r="D11" s="9">
        <v>0</v>
      </c>
      <c r="E11" s="4"/>
      <c r="F11" s="10">
        <v>0.25</v>
      </c>
      <c r="G11" s="9">
        <f t="shared" si="1"/>
        <v>0.25</v>
      </c>
      <c r="I11" s="23">
        <v>30.17</v>
      </c>
      <c r="J11" s="24">
        <v>48.78</v>
      </c>
      <c r="L11" s="23">
        <f t="shared" si="2"/>
        <v>0</v>
      </c>
      <c r="M11" s="24">
        <f t="shared" si="3"/>
        <v>0</v>
      </c>
    </row>
    <row r="12" spans="1:13" x14ac:dyDescent="0.4">
      <c r="B12" s="28">
        <f t="shared" si="0"/>
        <v>1.3333333333333335</v>
      </c>
      <c r="C12" s="8" t="s">
        <v>5</v>
      </c>
      <c r="D12" s="18" t="s">
        <v>5</v>
      </c>
      <c r="E12" s="4"/>
      <c r="F12" s="10">
        <v>0.25</v>
      </c>
      <c r="G12" s="9">
        <f t="shared" si="1"/>
        <v>0.25</v>
      </c>
      <c r="I12" s="23">
        <v>26.45</v>
      </c>
      <c r="J12" s="24">
        <v>28.58</v>
      </c>
      <c r="L12" s="23">
        <f t="shared" si="2"/>
        <v>0</v>
      </c>
      <c r="M12" s="24">
        <f t="shared" si="3"/>
        <v>0</v>
      </c>
    </row>
    <row r="13" spans="1:13" x14ac:dyDescent="0.4">
      <c r="B13" s="28">
        <f t="shared" si="0"/>
        <v>1.3750000000000002</v>
      </c>
      <c r="C13" s="8" t="s">
        <v>5</v>
      </c>
      <c r="D13" s="18" t="s">
        <v>5</v>
      </c>
      <c r="E13" s="4"/>
      <c r="F13" s="10">
        <v>0.25</v>
      </c>
      <c r="G13" s="9">
        <f t="shared" si="1"/>
        <v>0.25</v>
      </c>
      <c r="I13" s="23">
        <v>23.66</v>
      </c>
      <c r="J13" s="24">
        <v>21.19</v>
      </c>
      <c r="L13" s="23">
        <f t="shared" si="2"/>
        <v>0</v>
      </c>
      <c r="M13" s="24">
        <f t="shared" si="3"/>
        <v>0</v>
      </c>
    </row>
    <row r="14" spans="1:13" x14ac:dyDescent="0.4">
      <c r="B14" s="28">
        <f t="shared" si="0"/>
        <v>1.416666666666667</v>
      </c>
      <c r="C14" s="8" t="s">
        <v>5</v>
      </c>
      <c r="D14" s="18" t="s">
        <v>5</v>
      </c>
      <c r="E14" s="4"/>
      <c r="F14" s="10">
        <v>0.25</v>
      </c>
      <c r="G14" s="9">
        <f t="shared" si="1"/>
        <v>0.25</v>
      </c>
      <c r="I14" s="23">
        <v>20.76</v>
      </c>
      <c r="J14" s="24">
        <v>15.29</v>
      </c>
      <c r="L14" s="23">
        <f t="shared" si="2"/>
        <v>0</v>
      </c>
      <c r="M14" s="24">
        <f t="shared" si="3"/>
        <v>0</v>
      </c>
    </row>
    <row r="15" spans="1:13" x14ac:dyDescent="0.4">
      <c r="B15" s="28">
        <f t="shared" si="0"/>
        <v>1.4583333333333337</v>
      </c>
      <c r="C15" s="19" t="s">
        <v>5</v>
      </c>
      <c r="D15" s="20" t="s">
        <v>5</v>
      </c>
      <c r="E15" s="4"/>
      <c r="F15" s="11">
        <v>0.25</v>
      </c>
      <c r="G15" s="12">
        <f t="shared" si="1"/>
        <v>0.25</v>
      </c>
      <c r="I15" s="25">
        <v>16.72</v>
      </c>
      <c r="J15" s="26">
        <v>13.78</v>
      </c>
      <c r="L15" s="25">
        <f t="shared" si="2"/>
        <v>0</v>
      </c>
      <c r="M15" s="26">
        <f t="shared" si="3"/>
        <v>0</v>
      </c>
    </row>
    <row r="16" spans="1:13" x14ac:dyDescent="0.4">
      <c r="A16" t="s">
        <v>7</v>
      </c>
      <c r="B16" s="28">
        <v>0.5</v>
      </c>
      <c r="C16" s="8" t="s">
        <v>5</v>
      </c>
      <c r="D16" s="18" t="s">
        <v>5</v>
      </c>
      <c r="E16" s="4"/>
      <c r="F16" s="10">
        <v>0.25</v>
      </c>
      <c r="G16" s="9">
        <f t="shared" si="1"/>
        <v>0.25</v>
      </c>
      <c r="I16" s="23">
        <v>15.46</v>
      </c>
      <c r="J16" s="24">
        <v>12.15</v>
      </c>
      <c r="L16" s="23">
        <f t="shared" si="2"/>
        <v>0</v>
      </c>
      <c r="M16" s="24">
        <f t="shared" si="3"/>
        <v>0</v>
      </c>
    </row>
    <row r="17" spans="2:17" x14ac:dyDescent="0.4">
      <c r="B17" s="28">
        <f>B16+TIME(1,0,0)</f>
        <v>0.54166666666666663</v>
      </c>
      <c r="C17" s="8" t="s">
        <v>5</v>
      </c>
      <c r="D17" s="18" t="s">
        <v>5</v>
      </c>
      <c r="E17" s="4"/>
      <c r="F17" s="10">
        <v>0.25</v>
      </c>
      <c r="G17" s="9">
        <f t="shared" si="1"/>
        <v>0.25</v>
      </c>
      <c r="I17" s="23">
        <v>16.059999999999999</v>
      </c>
      <c r="J17" s="24">
        <v>11.88</v>
      </c>
      <c r="L17" s="23">
        <f t="shared" si="2"/>
        <v>0</v>
      </c>
      <c r="M17" s="24">
        <f t="shared" si="3"/>
        <v>0</v>
      </c>
    </row>
    <row r="18" spans="2:17" x14ac:dyDescent="0.4">
      <c r="B18" s="28">
        <f>B17+TIME(1,0,0)</f>
        <v>0.58333333333333326</v>
      </c>
      <c r="C18" s="8" t="s">
        <v>5</v>
      </c>
      <c r="D18" s="18" t="s">
        <v>5</v>
      </c>
      <c r="E18" s="4"/>
      <c r="F18" s="10">
        <v>0.25</v>
      </c>
      <c r="G18" s="9">
        <f t="shared" si="1"/>
        <v>0.25</v>
      </c>
      <c r="I18" s="23">
        <v>53.27</v>
      </c>
      <c r="J18" s="24">
        <v>24.79</v>
      </c>
      <c r="L18" s="23">
        <f t="shared" si="2"/>
        <v>0</v>
      </c>
      <c r="M18" s="24">
        <f t="shared" si="3"/>
        <v>0</v>
      </c>
    </row>
    <row r="19" spans="2:17" x14ac:dyDescent="0.4">
      <c r="B19" s="28">
        <f>B18+TIME(1,0,0)</f>
        <v>0.62499999999999989</v>
      </c>
      <c r="C19" s="8" t="s">
        <v>5</v>
      </c>
      <c r="D19" s="18" t="s">
        <v>5</v>
      </c>
      <c r="E19" s="4"/>
      <c r="F19" s="10">
        <v>0.25</v>
      </c>
      <c r="G19" s="9">
        <f t="shared" si="1"/>
        <v>0.25</v>
      </c>
      <c r="I19" s="23">
        <v>234.24</v>
      </c>
      <c r="J19" s="24">
        <v>94.84</v>
      </c>
      <c r="L19" s="23">
        <f t="shared" si="2"/>
        <v>0</v>
      </c>
      <c r="M19" s="24">
        <f t="shared" si="3"/>
        <v>0</v>
      </c>
    </row>
    <row r="20" spans="2:17" x14ac:dyDescent="0.4">
      <c r="B20" s="28">
        <f>B19+TIME(1,0,0)</f>
        <v>0.66666666666666652</v>
      </c>
      <c r="C20" s="8" t="s">
        <v>5</v>
      </c>
      <c r="D20" s="18" t="s">
        <v>5</v>
      </c>
      <c r="E20" s="4"/>
      <c r="F20" s="10">
        <v>0.25</v>
      </c>
      <c r="G20" s="9">
        <f t="shared" si="1"/>
        <v>0.25</v>
      </c>
      <c r="I20" s="23">
        <v>450.01</v>
      </c>
      <c r="J20" s="24">
        <v>156.93</v>
      </c>
      <c r="L20" s="23">
        <f t="shared" si="2"/>
        <v>0</v>
      </c>
      <c r="M20" s="24">
        <f t="shared" si="3"/>
        <v>0</v>
      </c>
    </row>
    <row r="21" spans="2:17" x14ac:dyDescent="0.4">
      <c r="B21" s="28">
        <f>B20+TIME(1,0,0)</f>
        <v>0.70833333333333315</v>
      </c>
      <c r="C21" s="8" t="s">
        <v>5</v>
      </c>
      <c r="D21" s="9">
        <v>64.650000000000006</v>
      </c>
      <c r="E21" s="4"/>
      <c r="F21" s="10">
        <v>0.25</v>
      </c>
      <c r="G21" s="9">
        <f t="shared" si="1"/>
        <v>0.25</v>
      </c>
      <c r="I21" s="23">
        <v>466.6</v>
      </c>
      <c r="J21" s="24">
        <v>155.71</v>
      </c>
      <c r="L21" s="23">
        <f t="shared" si="2"/>
        <v>0</v>
      </c>
      <c r="M21" s="24">
        <f t="shared" si="3"/>
        <v>2516.6628750000004</v>
      </c>
    </row>
    <row r="22" spans="2:17" x14ac:dyDescent="0.4">
      <c r="B22" s="28">
        <f>B21+TIME(1,0,0)</f>
        <v>0.74999999999999978</v>
      </c>
      <c r="C22" s="8" t="s">
        <v>8</v>
      </c>
      <c r="D22" s="9">
        <v>124.23</v>
      </c>
      <c r="E22" s="4"/>
      <c r="F22" s="10">
        <v>0.25</v>
      </c>
      <c r="G22" s="9">
        <f t="shared" si="1"/>
        <v>0.25</v>
      </c>
      <c r="I22" s="23">
        <v>345.57</v>
      </c>
      <c r="J22" s="24">
        <v>146.76</v>
      </c>
      <c r="L22" s="23">
        <f t="shared" si="2"/>
        <v>901.07377499999996</v>
      </c>
      <c r="M22" s="24">
        <f t="shared" si="3"/>
        <v>4557.9987000000001</v>
      </c>
    </row>
    <row r="23" spans="2:17" x14ac:dyDescent="0.4">
      <c r="B23" s="28">
        <f>B22+TIME(1,0,0)</f>
        <v>0.79166666666666641</v>
      </c>
      <c r="C23" s="8" t="s">
        <v>9</v>
      </c>
      <c r="D23" s="9">
        <v>146.93</v>
      </c>
      <c r="E23" s="4"/>
      <c r="F23" s="10">
        <v>0.25</v>
      </c>
      <c r="G23" s="9">
        <f t="shared" si="1"/>
        <v>0.25</v>
      </c>
      <c r="I23" s="23">
        <v>232.43</v>
      </c>
      <c r="J23" s="24">
        <v>138.6</v>
      </c>
      <c r="L23" s="23">
        <f t="shared" si="2"/>
        <v>3085.5082500000003</v>
      </c>
      <c r="M23" s="24">
        <f t="shared" si="3"/>
        <v>5091.1244999999999</v>
      </c>
    </row>
    <row r="24" spans="2:17" x14ac:dyDescent="0.4">
      <c r="B24" s="28">
        <f>B23+TIME(1,0,0)</f>
        <v>0.83333333333333304</v>
      </c>
      <c r="C24" s="8" t="s">
        <v>3</v>
      </c>
      <c r="D24" s="9">
        <v>181</v>
      </c>
      <c r="E24" s="4"/>
      <c r="F24" s="10">
        <v>0.25</v>
      </c>
      <c r="G24" s="9">
        <f t="shared" si="1"/>
        <v>0.25</v>
      </c>
      <c r="I24" s="23">
        <v>214.9</v>
      </c>
      <c r="J24" s="24">
        <v>136.81</v>
      </c>
      <c r="L24" s="23">
        <f t="shared" si="2"/>
        <v>9885.4</v>
      </c>
      <c r="M24" s="24">
        <f t="shared" si="3"/>
        <v>6190.6525000000001</v>
      </c>
    </row>
    <row r="25" spans="2:17" x14ac:dyDescent="0.4">
      <c r="B25" s="28">
        <f>B24+TIME(1,0,0)</f>
        <v>0.87499999999999967</v>
      </c>
      <c r="C25" s="8" t="s">
        <v>3</v>
      </c>
      <c r="D25" s="9">
        <v>181</v>
      </c>
      <c r="E25" s="4"/>
      <c r="F25" s="10">
        <v>0.25</v>
      </c>
      <c r="G25" s="9">
        <f t="shared" si="1"/>
        <v>0.25</v>
      </c>
      <c r="I25" s="23">
        <v>150.71</v>
      </c>
      <c r="J25" s="24">
        <v>139.03</v>
      </c>
      <c r="L25" s="23">
        <f t="shared" si="2"/>
        <v>6932.6600000000008</v>
      </c>
      <c r="M25" s="24">
        <f t="shared" si="3"/>
        <v>6291.1075000000001</v>
      </c>
    </row>
    <row r="26" spans="2:17" x14ac:dyDescent="0.4">
      <c r="B26" s="28">
        <f>B25+TIME(1,0,0)</f>
        <v>0.9166666666666663</v>
      </c>
      <c r="C26" s="8" t="s">
        <v>3</v>
      </c>
      <c r="D26" s="9">
        <v>181</v>
      </c>
      <c r="E26" s="4"/>
      <c r="F26" s="10">
        <v>0.25</v>
      </c>
      <c r="G26" s="9">
        <f t="shared" si="1"/>
        <v>0.25</v>
      </c>
      <c r="I26" s="23">
        <v>150.41</v>
      </c>
      <c r="J26" s="24">
        <v>141.71</v>
      </c>
      <c r="L26" s="23">
        <f t="shared" si="2"/>
        <v>6918.86</v>
      </c>
      <c r="M26" s="24">
        <f t="shared" si="3"/>
        <v>6412.3775000000005</v>
      </c>
    </row>
    <row r="27" spans="2:17" x14ac:dyDescent="0.4">
      <c r="B27" s="28">
        <f>B26+TIME(1,0,0)</f>
        <v>0.95833333333333293</v>
      </c>
      <c r="C27" s="19" t="s">
        <v>3</v>
      </c>
      <c r="D27" s="12">
        <v>181</v>
      </c>
      <c r="E27" s="4"/>
      <c r="F27" s="11">
        <v>0.25</v>
      </c>
      <c r="G27" s="12">
        <f t="shared" si="1"/>
        <v>0.25</v>
      </c>
      <c r="I27" s="25">
        <v>139.34</v>
      </c>
      <c r="J27" s="26">
        <v>143.25</v>
      </c>
      <c r="L27" s="25">
        <f t="shared" si="2"/>
        <v>6409.64</v>
      </c>
      <c r="M27" s="26">
        <f t="shared" si="3"/>
        <v>6482.0625</v>
      </c>
    </row>
    <row r="29" spans="2:17" x14ac:dyDescent="0.4">
      <c r="L29" s="27">
        <f>SUM(L4:L27)</f>
        <v>94920.838575000002</v>
      </c>
      <c r="M29" s="27">
        <f>SUM(M4:M27)</f>
        <v>108778.07884999999</v>
      </c>
      <c r="Q29" s="29"/>
    </row>
    <row r="31" spans="2:17" x14ac:dyDescent="0.4">
      <c r="L31" s="5" t="s">
        <v>17</v>
      </c>
      <c r="M31" s="5"/>
    </row>
    <row r="32" spans="2:17" x14ac:dyDescent="0.4">
      <c r="M32" s="27">
        <f>SUM(L29:M29)</f>
        <v>203698.91742499999</v>
      </c>
    </row>
    <row r="34" spans="12:14" ht="32.6" customHeight="1" x14ac:dyDescent="0.4">
      <c r="L34" s="36" t="s">
        <v>16</v>
      </c>
      <c r="M34" s="36"/>
    </row>
    <row r="35" spans="12:14" x14ac:dyDescent="0.4">
      <c r="M35" s="29">
        <f>M32/20000</f>
        <v>10.184945871249999</v>
      </c>
      <c r="N35" t="s">
        <v>18</v>
      </c>
    </row>
  </sheetData>
  <mergeCells count="6">
    <mergeCell ref="L34:M34"/>
    <mergeCell ref="C2:D2"/>
    <mergeCell ref="I2:J2"/>
    <mergeCell ref="L2:M2"/>
    <mergeCell ref="F2:G2"/>
    <mergeCell ref="L31:M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Isaak</dc:creator>
  <cp:lastModifiedBy>Ari Isaak</cp:lastModifiedBy>
  <dcterms:created xsi:type="dcterms:W3CDTF">2026-01-23T18:47:54Z</dcterms:created>
  <dcterms:modified xsi:type="dcterms:W3CDTF">2026-01-23T20:16:31Z</dcterms:modified>
</cp:coreProperties>
</file>